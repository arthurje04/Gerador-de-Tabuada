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  <sheet name="Caixa Diário" sheetId="2" r:id="rId2"/>
    <sheet name="Dashboard" sheetId="3" r:id="rId3"/>
    <sheet name="Tabelas Dinâmicas" sheetId="4" r:id="rId4"/>
  </sheets>
  <calcPr calcId="124519" fullCalcOnLoad="1"/>
</workbook>
</file>

<file path=xl/sharedStrings.xml><?xml version="1.0" encoding="utf-8"?>
<sst xmlns="http://schemas.openxmlformats.org/spreadsheetml/2006/main" count="80" uniqueCount="51">
  <si>
    <t>Código</t>
  </si>
  <si>
    <t>Produto</t>
  </si>
  <si>
    <t>Categoria</t>
  </si>
  <si>
    <t>Fornecedor</t>
  </si>
  <si>
    <t>Quantidade</t>
  </si>
  <si>
    <t>Preço Unitário</t>
  </si>
  <si>
    <t>Valor Total</t>
  </si>
  <si>
    <t>Notebook Dell Inspiron</t>
  </si>
  <si>
    <t>Monitor LG 24''</t>
  </si>
  <si>
    <t>Mouse Logitech M170</t>
  </si>
  <si>
    <t>Teclado Microsoft</t>
  </si>
  <si>
    <t>Impressora HP DeskJet</t>
  </si>
  <si>
    <t>Cadeira Gamer ThunderX3</t>
  </si>
  <si>
    <t>Smartphone Samsung Galaxy A55</t>
  </si>
  <si>
    <t>HD Externo Seagate 1TB</t>
  </si>
  <si>
    <t>Informática</t>
  </si>
  <si>
    <t>Periféricos</t>
  </si>
  <si>
    <t>Impressão</t>
  </si>
  <si>
    <t>Móveis</t>
  </si>
  <si>
    <t>Telefonia</t>
  </si>
  <si>
    <t>Armazenamento</t>
  </si>
  <si>
    <t>Dell</t>
  </si>
  <si>
    <t>LG Electronics</t>
  </si>
  <si>
    <t>Logitech</t>
  </si>
  <si>
    <t>Microsoft</t>
  </si>
  <si>
    <t>HP</t>
  </si>
  <si>
    <t>Kabum</t>
  </si>
  <si>
    <t>Samsung</t>
  </si>
  <si>
    <t>Seagate</t>
  </si>
  <si>
    <t>Data</t>
  </si>
  <si>
    <t>Descrição</t>
  </si>
  <si>
    <t>Entrada</t>
  </si>
  <si>
    <t>Saída</t>
  </si>
  <si>
    <t>Saldo</t>
  </si>
  <si>
    <t>Saldo Acumulado</t>
  </si>
  <si>
    <t>Venda Notebook Dell</t>
  </si>
  <si>
    <t>Compra Cadeiras</t>
  </si>
  <si>
    <t>Venda Monitor LG</t>
  </si>
  <si>
    <t>Venda Smartphone Samsung</t>
  </si>
  <si>
    <t>Compra Impressora HP</t>
  </si>
  <si>
    <t>Venda HD Seagate</t>
  </si>
  <si>
    <t>Venda Mouse Logitech</t>
  </si>
  <si>
    <t>Venda Teclado Microsoft</t>
  </si>
  <si>
    <t>Compra Estoque Kabum</t>
  </si>
  <si>
    <t>Venda Cadeira Gamer</t>
  </si>
  <si>
    <t>Indicadores</t>
  </si>
  <si>
    <t>Valor Total em Estoque</t>
  </si>
  <si>
    <t>Saldo Final em Caixa</t>
  </si>
  <si>
    <t>Produtos com Baixo Estoque</t>
  </si>
  <si>
    <t>Por Fornecedor</t>
  </si>
  <si>
    <t>Por Categoria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</si>
</sst>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Estoque por Categoria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Estoque por Categoria</c:v>
          </c:tx>
          <c:cat>
            <c:numRef>
              <c:f>TabelaEstoque[Categoria]</c:f>
            </c:numRef>
          </c:cat>
          <c:val>
            <c:numRef>
              <c:f>TabelaEstoque[Quantidade]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Caixa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Evolução do Caixa</c:v>
          </c:tx>
          <c:marker>
            <c:symbol val="none"/>
          </c:marker>
          <c:cat>
            <c:numRef>
              <c:f>TabelaCaixa[Data]</c:f>
            </c:numRef>
          </c:cat>
          <c:val>
            <c:numRef>
              <c:f>TabelaCaixa[Saldo Acumulado]</c:f>
              <c:numCache>
                <c:formatCode>General</c:formatCode>
                <c:ptCount val="0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por Fornecedor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Fornecedor</c:v>
          </c:tx>
          <c:cat>
            <c:numRef>
              <c:f>TabelaEstoque[Fornecedor]</c:f>
            </c:numRef>
          </c:cat>
          <c:val>
            <c:numRef>
              <c:f>TabelaEstoque[Valor Total]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Entradas vs Saídas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cat>
            <c:numRef>
              <c:f>TabelaCaixa[Data]</c:f>
            </c:numRef>
          </c:cat>
          <c:val>
            <c:numRef>
              <c:f>TabelaCaixa[Entrada]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Saídas</c:v>
          </c:tx>
          <c:cat>
            <c:numRef>
              <c:f>TabelaCaixa[Data]</c:f>
            </c:numRef>
          </c:cat>
          <c:val>
            <c:numRef>
              <c:f>TabelaCaixa[Saída]</c:f>
              <c:numCache>
                <c:formatCode>General</c:formatCode>
                <c:ptCount val="0"/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Estoque" displayName="TabelaEstoque" ref="A1:G9" totalsRowShown="0">
  <autoFilter ref="A1:G9"/>
  <tableColumns count="7">
    <tableColumn id="1" name="Código"/>
    <tableColumn id="2" name="Produto"/>
    <tableColumn id="3" name="Categoria"/>
    <tableColumn id="4" name="Fornecedor"/>
    <tableColumn id="5" name="Quantidade"/>
    <tableColumn id="6" name="Preço Unitário"/>
    <tableColumn id="7" name="Valor 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Caixa" displayName="TabelaCaixa" ref="A1:F11" totalsRowShown="0">
  <autoFilter ref="A1:F11"/>
  <tableColumns count="6">
    <tableColumn id="1" name="Data"/>
    <tableColumn id="2" name="Descrição"/>
    <tableColumn id="3" name="Entrada"/>
    <tableColumn id="4" name="Saída"/>
    <tableColumn id="5" name="Saldo"/>
    <tableColumn id="6" name="Saldo Acumul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 t="s">
        <v>7</v>
      </c>
      <c r="C2" t="s">
        <v>15</v>
      </c>
      <c r="D2" t="s">
        <v>21</v>
      </c>
      <c r="E2">
        <v>15</v>
      </c>
      <c r="F2">
        <v>3500</v>
      </c>
      <c r="G2">
        <v>52500</v>
      </c>
    </row>
    <row r="3" spans="1:7">
      <c r="A3">
        <v>202</v>
      </c>
      <c r="B3" t="s">
        <v>8</v>
      </c>
      <c r="C3" t="s">
        <v>15</v>
      </c>
      <c r="D3" t="s">
        <v>22</v>
      </c>
      <c r="E3">
        <v>20</v>
      </c>
      <c r="F3">
        <v>950</v>
      </c>
      <c r="G3">
        <v>19000</v>
      </c>
    </row>
    <row r="4" spans="1:7">
      <c r="A4">
        <v>203</v>
      </c>
      <c r="B4" t="s">
        <v>9</v>
      </c>
      <c r="C4" t="s">
        <v>16</v>
      </c>
      <c r="D4" t="s">
        <v>23</v>
      </c>
      <c r="E4">
        <v>50</v>
      </c>
      <c r="F4">
        <v>80</v>
      </c>
      <c r="G4">
        <v>4000</v>
      </c>
    </row>
    <row r="5" spans="1:7">
      <c r="A5">
        <v>204</v>
      </c>
      <c r="B5" t="s">
        <v>10</v>
      </c>
      <c r="C5" t="s">
        <v>16</v>
      </c>
      <c r="D5" t="s">
        <v>24</v>
      </c>
      <c r="E5">
        <v>35</v>
      </c>
      <c r="F5">
        <v>120</v>
      </c>
      <c r="G5">
        <v>4200</v>
      </c>
    </row>
    <row r="6" spans="1:7">
      <c r="A6">
        <v>205</v>
      </c>
      <c r="B6" t="s">
        <v>11</v>
      </c>
      <c r="C6" t="s">
        <v>17</v>
      </c>
      <c r="D6" t="s">
        <v>25</v>
      </c>
      <c r="E6">
        <v>10</v>
      </c>
      <c r="F6">
        <v>600</v>
      </c>
      <c r="G6">
        <v>6000</v>
      </c>
    </row>
    <row r="7" spans="1:7">
      <c r="A7">
        <v>206</v>
      </c>
      <c r="B7" t="s">
        <v>12</v>
      </c>
      <c r="C7" t="s">
        <v>18</v>
      </c>
      <c r="D7" t="s">
        <v>26</v>
      </c>
      <c r="E7">
        <v>5</v>
      </c>
      <c r="F7">
        <v>1200</v>
      </c>
      <c r="G7">
        <v>6000</v>
      </c>
    </row>
    <row r="8" spans="1:7">
      <c r="A8">
        <v>207</v>
      </c>
      <c r="B8" t="s">
        <v>13</v>
      </c>
      <c r="C8" t="s">
        <v>19</v>
      </c>
      <c r="D8" t="s">
        <v>27</v>
      </c>
      <c r="E8">
        <v>25</v>
      </c>
      <c r="F8">
        <v>2200</v>
      </c>
      <c r="G8">
        <v>55000</v>
      </c>
    </row>
    <row r="9" spans="1:7">
      <c r="A9">
        <v>208</v>
      </c>
      <c r="B9" t="s">
        <v>14</v>
      </c>
      <c r="C9" t="s">
        <v>20</v>
      </c>
      <c r="D9" t="s">
        <v>28</v>
      </c>
      <c r="E9">
        <v>12</v>
      </c>
      <c r="F9">
        <v>400</v>
      </c>
      <c r="G9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s="1">
        <v>45962</v>
      </c>
      <c r="B2" t="s">
        <v>35</v>
      </c>
      <c r="C2">
        <v>15000</v>
      </c>
      <c r="D2">
        <v>0</v>
      </c>
      <c r="E2">
        <v>15000</v>
      </c>
      <c r="F2">
        <v>15000</v>
      </c>
    </row>
    <row r="3" spans="1:6">
      <c r="A3" s="1">
        <v>45963</v>
      </c>
      <c r="B3" t="s">
        <v>36</v>
      </c>
      <c r="C3">
        <v>0</v>
      </c>
      <c r="D3">
        <v>6000</v>
      </c>
      <c r="E3">
        <v>-6000</v>
      </c>
      <c r="F3">
        <v>9000</v>
      </c>
    </row>
    <row r="4" spans="1:6">
      <c r="A4" s="1">
        <v>45964</v>
      </c>
      <c r="B4" t="s">
        <v>37</v>
      </c>
      <c r="C4">
        <v>1900</v>
      </c>
      <c r="D4">
        <v>0</v>
      </c>
      <c r="E4">
        <v>1900</v>
      </c>
      <c r="F4">
        <v>10900</v>
      </c>
    </row>
    <row r="5" spans="1:6">
      <c r="A5" s="1">
        <v>45965</v>
      </c>
      <c r="B5" t="s">
        <v>38</v>
      </c>
      <c r="C5">
        <v>4400</v>
      </c>
      <c r="D5">
        <v>0</v>
      </c>
      <c r="E5">
        <v>4400</v>
      </c>
      <c r="F5">
        <v>15300</v>
      </c>
    </row>
    <row r="6" spans="1:6">
      <c r="A6" s="1">
        <v>45966</v>
      </c>
      <c r="B6" t="s">
        <v>39</v>
      </c>
      <c r="C6">
        <v>0</v>
      </c>
      <c r="D6">
        <v>1200</v>
      </c>
      <c r="E6">
        <v>-1200</v>
      </c>
      <c r="F6">
        <v>14100</v>
      </c>
    </row>
    <row r="7" spans="1:6">
      <c r="A7" s="1">
        <v>45967</v>
      </c>
      <c r="B7" t="s">
        <v>40</v>
      </c>
      <c r="C7">
        <v>4800</v>
      </c>
      <c r="D7">
        <v>0</v>
      </c>
      <c r="E7">
        <v>4800</v>
      </c>
      <c r="F7">
        <v>18900</v>
      </c>
    </row>
    <row r="8" spans="1:6">
      <c r="A8" s="1">
        <v>45968</v>
      </c>
      <c r="B8" t="s">
        <v>41</v>
      </c>
      <c r="C8">
        <v>4000</v>
      </c>
      <c r="D8">
        <v>0</v>
      </c>
      <c r="E8">
        <v>4000</v>
      </c>
      <c r="F8">
        <v>22900</v>
      </c>
    </row>
    <row r="9" spans="1:6">
      <c r="A9" s="1">
        <v>45969</v>
      </c>
      <c r="B9" t="s">
        <v>42</v>
      </c>
      <c r="C9">
        <v>4200</v>
      </c>
      <c r="D9">
        <v>0</v>
      </c>
      <c r="E9">
        <v>4200</v>
      </c>
      <c r="F9">
        <v>27100</v>
      </c>
    </row>
    <row r="10" spans="1:6">
      <c r="A10" s="1">
        <v>45970</v>
      </c>
      <c r="B10" t="s">
        <v>43</v>
      </c>
      <c r="C10">
        <v>0</v>
      </c>
      <c r="D10">
        <v>3500</v>
      </c>
      <c r="E10">
        <v>-3500</v>
      </c>
      <c r="F10">
        <v>23600</v>
      </c>
    </row>
    <row r="11" spans="1:6">
      <c r="A11" s="1">
        <v>45971</v>
      </c>
      <c r="B11" t="s">
        <v>44</v>
      </c>
      <c r="C11">
        <v>6000</v>
      </c>
      <c r="D11">
        <v>0</v>
      </c>
      <c r="E11">
        <v>6000</v>
      </c>
      <c r="F11">
        <v>29600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45</v>
      </c>
    </row>
    <row r="2" spans="1:2">
      <c r="A2" t="s">
        <v>46</v>
      </c>
      <c r="B2">
        <f>SUM(TabelaEstoque[Valor Total])</f>
        <v>0</v>
      </c>
    </row>
    <row r="3" spans="1:2">
      <c r="A3" t="s">
        <v>47</v>
      </c>
      <c r="B3">
        <f>LOOKUP(2,1/(TabelaCaixa[Saldo Acumulado]&lt;&gt;""),TabelaCaixa[Saldo Acumulado])</f>
        <v>0</v>
      </c>
    </row>
    <row r="4" spans="1:2">
      <c r="A4" t="s">
        <v>48</v>
      </c>
      <c r="B4">
        <f>COUNTIF(TabelaEstoque[Quantidade],"&lt;10")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49</v>
      </c>
    </row>
    <row r="3" spans="1:2">
      <c r="A3" t="s">
        <v>21</v>
      </c>
      <c r="B3">
        <v>52500</v>
      </c>
    </row>
    <row r="4" spans="1:2">
      <c r="A4" t="s">
        <v>25</v>
      </c>
      <c r="B4">
        <v>6000</v>
      </c>
    </row>
    <row r="5" spans="1:2">
      <c r="A5" t="s">
        <v>26</v>
      </c>
      <c r="B5">
        <v>6000</v>
      </c>
    </row>
    <row r="6" spans="1:2">
      <c r="A6" t="s">
        <v>22</v>
      </c>
      <c r="B6">
        <v>19000</v>
      </c>
    </row>
    <row r="7" spans="1:2">
      <c r="A7" t="s">
        <v>23</v>
      </c>
      <c r="B7">
        <v>4000</v>
      </c>
    </row>
    <row r="8" spans="1:2">
      <c r="A8" t="s">
        <v>24</v>
      </c>
      <c r="B8">
        <v>4200</v>
      </c>
    </row>
    <row r="9" spans="1:2">
      <c r="A9" t="s">
        <v>27</v>
      </c>
      <c r="B9">
        <v>55000</v>
      </c>
    </row>
    <row r="10" spans="1:2">
      <c r="A10" t="s">
        <v>50</v>
      </c>
      <c r="B10">
        <v>4800</v>
      </c>
    </row>
    <row r="12" spans="1:2">
      <c r="A12" t="s">
        <v>20</v>
      </c>
      <c r="B12">
        <v>12</v>
      </c>
    </row>
    <row r="13" spans="1:2">
      <c r="A13" t="s">
        <v>17</v>
      </c>
      <c r="B13">
        <v>10</v>
      </c>
    </row>
    <row r="14" spans="1:2">
      <c r="A14" t="s">
        <v>15</v>
      </c>
      <c r="B14">
        <v>35</v>
      </c>
    </row>
    <row r="15" spans="1:2">
      <c r="A15" t="s">
        <v>18</v>
      </c>
      <c r="B15">
        <v>5</v>
      </c>
    </row>
    <row r="16" spans="1:2">
      <c r="A16" t="s">
        <v>16</v>
      </c>
      <c r="B16">
        <v>85</v>
      </c>
    </row>
    <row r="17" spans="1:2">
      <c r="A17" t="s">
        <v>19</v>
      </c>
      <c r="B1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Estoque</vt:lpstr>
      <vt:lpstr>Caixa Diário</vt:lpstr>
      <vt:lpstr>Dashboard</vt:lpstr>
      <vt:lpstr>Tabelas Dinâmicas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2025-11-23T01:57:03Z</dcterms:created>
  <dcterms:modified xsi:type="dcterms:W3CDTF">2025-11-23T01:57:03Z</dcterms:modified>
</cp:coreProperties>
</file>